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<sst xmlns="http://schemas.openxmlformats.org/spreadsheetml/2006/main" count="36" uniqueCount="33">
  <si>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ProductID</t>
  </si>
  <si>
    <t>Product</t>
  </si>
  <si>
    <t>Sales</t>
  </si>
  <si>
    <t>Target</t>
  </si>
  <si>
    <t>Region</t>
  </si>
  <si>
    <t>Target Status</t>
  </si>
  <si>
    <t>Regional Bonus</t>
  </si>
  <si>
    <t>Commission</t>
  </si>
  <si>
    <t>Bonus Amount</t>
  </si>
  <si>
    <t>Performance</t>
  </si>
  <si>
    <t>Price Tier</t>
  </si>
  <si>
    <t>Year-End Bonus</t>
  </si>
  <si>
    <t>High Performer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</si>
  <si>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</si>
  <si>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</si>
  <si>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</si>
  <si>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</si>
  <si>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</si>
  <si>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</si>
  <si>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</si>
  <si>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</si>
  <si>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</si>
  <si>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Sales%</t>
  </si>
  <si>
    <t>Product F</t>
  </si>
  <si>
    <t>QUESTION</t>
  </si>
  <si>
    <t>1. Use the IF function to evaluate whether each product met its sales target.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</si>
  <si>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</si>
  <si>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</si>
  <si>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</si>
  <si>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>5. Use the IF function to categorize sales performance as "Excellent" (&gt;=200), "Good" (&gt;=150), or "Needs Improvement" (&lt;150).</t>
  </si>
  <si>
    <t>6. Use the IF function to assign a price tier based on the sales value. "High" for sales &gt; 200, "Medium" for sales between 100 and 200, and "Low" for sales &lt; 100.</t>
  </si>
  <si>
    <t>7. Use the IF function to calculate the year-end bonus. If sales &gt;= 150 and region is "North", the bonus is $500, otherwise, it's $300.</t>
  </si>
  <si>
    <t>8. 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</si>
</sst>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ill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 vertical="center" indent="1"/>
    </xf>
    <xf numFmtId="0" fontId="0" fillId="0" borderId="0" xfId="0" applyFill="1" applyBorder="1"/>
    <xf numFmtId="0" fontId="1" fillId="0" borderId="1" xfId="0" applyFont="1" applyFill="1" applyBorder="1" applyAlignment="1">
      <alignment horizontal="left"/>
    </xf>
    <xf numFmtId="2" fontId="0" fillId="0" borderId="0" xfId="3" applyNumberFormat="1" applyFont="1" applyFill="1"/>
    <xf numFmtId="0" fontId="0" fillId="0" borderId="2" xfId="0" applyFill="1" applyBorder="1" applyAlignment="1">
      <alignment horizontal="center"/>
    </xf>
    <xf numFmtId="1" fontId="0" fillId="0" borderId="0" xfId="3" applyNumberFormat="1" applyFont="1" applyFill="1"/>
    <xf numFmtId="10" fontId="2" fillId="0" borderId="0" xfId="0" applyNumberFormat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Custom 4">
      <a:dk1>
        <a:srgbClr val="2C2C2C"/>
      </a:dk1>
      <a:lt1>
        <a:srgbClr val="FFFFFF"/>
      </a:lt1>
      <a:dk2>
        <a:srgbClr val="F9B2D6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V30"/>
  <sheetViews>
    <sheetView tabSelected="1" zoomScale="87" zoomScaleNormal="87" workbookViewId="0">
      <selection activeCell="S11" sqref="S11"/>
    </sheetView>
  </sheetViews>
  <sheetFormatPr defaultColWidth="9" defaultRowHeight="14.5"/>
  <cols>
    <col min="1" max="1" width="9.10909090909091" customWidth="1"/>
    <col min="2" max="2" width="9" customWidth="1"/>
    <col min="3" max="3" width="5.10909090909091" customWidth="1"/>
    <col min="4" max="4" width="6.21818181818182" customWidth="1"/>
    <col min="5" max="5" width="6.55454545454545" customWidth="1"/>
    <col min="6" max="6" width="5.33636363636364" customWidth="1"/>
    <col min="7" max="7" width="17.8909090909091" customWidth="1"/>
    <col min="8" max="8" width="13.5545454545455" customWidth="1"/>
    <col min="9" max="9" width="10.8909090909091" customWidth="1"/>
    <col min="10" max="10" width="12.8909090909091" customWidth="1"/>
    <col min="11" max="11" width="17.7818181818182" customWidth="1"/>
    <col min="12" max="12" width="8.55454545454545" customWidth="1"/>
    <col min="13" max="13" width="13.8909090909091" customWidth="1"/>
    <col min="14" max="14" width="13.4454545454545" customWidth="1"/>
    <col min="17" max="17" width="10.1090909090909" customWidth="1"/>
  </cols>
  <sheetData>
    <row r="3" spans="1:2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8" t="s">
        <v>11</v>
      </c>
      <c r="M4" s="3" t="s">
        <v>12</v>
      </c>
      <c r="N4" s="1"/>
      <c r="O4" s="1"/>
      <c r="Q4" s="1"/>
      <c r="R4" s="1"/>
      <c r="S4" s="1"/>
      <c r="T4" s="1"/>
      <c r="U4" s="1"/>
      <c r="V4" s="1"/>
    </row>
    <row r="5" spans="1:22">
      <c r="A5" s="4">
        <v>101</v>
      </c>
      <c r="B5" s="4" t="s">
        <v>13</v>
      </c>
      <c r="C5" s="4">
        <v>120</v>
      </c>
      <c r="D5" s="4">
        <v>150</v>
      </c>
      <c r="E5" s="4" t="s">
        <v>14</v>
      </c>
      <c r="F5" s="4" t="str">
        <f t="shared" ref="F5:F10" si="0">IF(C5&gt;=D5,"Met Target","Did Not Meet Target")</f>
        <v>Did Not Meet Target</v>
      </c>
      <c r="G5" s="4" t="str">
        <f t="shared" ref="G5:G10" si="1">IF(AND(E5="North",C5&gt;200),"Eligible","Not Eligible")</f>
        <v>Not Eligible</v>
      </c>
      <c r="H5" s="2">
        <f t="shared" ref="H5:H10" si="2">IF(C5&gt;=200,10%,IF(C5&gt;=150,7%,5%))</f>
        <v>0.05</v>
      </c>
      <c r="I5" s="2">
        <f t="shared" ref="I5:I10" si="3">IF(C5&gt;=D5,C5*10%,C5*5%)</f>
        <v>6</v>
      </c>
      <c r="J5" s="4" t="str">
        <f t="shared" ref="J5:J10" si="4">IF(C5&gt;=200,"Excellent",IF(C5&gt;=150,"Good","Needs Improvement"))</f>
        <v>Needs Improvement</v>
      </c>
      <c r="K5" s="4" t="str">
        <f t="shared" ref="K5:K10" si="5">IF(C5&gt;200,"High",IF(C5&gt;=100,"Medium","Low"))</f>
        <v>Medium</v>
      </c>
      <c r="L5" s="2">
        <f t="shared" ref="L5:L10" si="6">IF(AND(C5&gt;=150,E5="North"),500,300)</f>
        <v>300</v>
      </c>
      <c r="M5" s="2" t="str">
        <f>IF(C5&gt;=O10,"Yes","No")</f>
        <v>No</v>
      </c>
      <c r="N5" s="1"/>
      <c r="O5" s="1"/>
      <c r="Q5" s="1"/>
      <c r="R5" s="1"/>
      <c r="S5" s="1"/>
      <c r="T5" s="1"/>
      <c r="U5" s="1"/>
      <c r="V5" s="1"/>
    </row>
    <row r="6" spans="1:22">
      <c r="A6" s="4">
        <v>102</v>
      </c>
      <c r="B6" s="4" t="s">
        <v>15</v>
      </c>
      <c r="C6" s="4">
        <v>150</v>
      </c>
      <c r="D6" s="4">
        <v>140</v>
      </c>
      <c r="E6" s="4" t="s">
        <v>16</v>
      </c>
      <c r="F6" s="4" t="str">
        <f t="shared" si="0"/>
        <v>Met Target</v>
      </c>
      <c r="G6" s="4" t="str">
        <f t="shared" si="1"/>
        <v>Not Eligible</v>
      </c>
      <c r="H6" s="2">
        <f t="shared" si="2"/>
        <v>0.07</v>
      </c>
      <c r="I6" s="2">
        <f t="shared" si="3"/>
        <v>15</v>
      </c>
      <c r="J6" s="4" t="str">
        <f t="shared" si="4"/>
        <v>Good</v>
      </c>
      <c r="K6" s="4" t="str">
        <f t="shared" si="5"/>
        <v>Medium</v>
      </c>
      <c r="L6" s="2">
        <f t="shared" si="6"/>
        <v>300</v>
      </c>
      <c r="M6" s="2" t="str">
        <f>IF(C6&gt;O11,"Yes","No")</f>
        <v>Yes</v>
      </c>
      <c r="N6" s="1"/>
      <c r="O6" s="1"/>
      <c r="Q6" s="1"/>
      <c r="R6" s="1"/>
      <c r="S6" s="1"/>
      <c r="T6" s="1"/>
      <c r="U6" s="1"/>
      <c r="V6" s="1"/>
    </row>
    <row r="7" spans="1:22">
      <c r="A7" s="4">
        <v>103</v>
      </c>
      <c r="B7" s="4" t="s">
        <v>17</v>
      </c>
      <c r="C7" s="4">
        <v>200</v>
      </c>
      <c r="D7" s="4">
        <v>200</v>
      </c>
      <c r="E7" s="4" t="s">
        <v>18</v>
      </c>
      <c r="F7" s="4" t="str">
        <f t="shared" si="0"/>
        <v>Met Target</v>
      </c>
      <c r="G7" s="4" t="str">
        <f t="shared" si="1"/>
        <v>Not Eligible</v>
      </c>
      <c r="H7" s="2">
        <f t="shared" si="2"/>
        <v>0.1</v>
      </c>
      <c r="I7" s="2">
        <f t="shared" si="3"/>
        <v>20</v>
      </c>
      <c r="J7" s="4" t="str">
        <f t="shared" si="4"/>
        <v>Excellent</v>
      </c>
      <c r="K7" s="4" t="str">
        <f t="shared" si="5"/>
        <v>Medium</v>
      </c>
      <c r="L7" s="2">
        <f t="shared" si="6"/>
        <v>300</v>
      </c>
      <c r="M7" s="2" t="str">
        <f>IF(C7&gt;O12,"Yes","No")</f>
        <v>Yes</v>
      </c>
      <c r="N7" s="1"/>
      <c r="O7" s="9"/>
      <c r="Q7" s="1"/>
      <c r="R7" s="1"/>
      <c r="S7" s="1"/>
      <c r="T7" s="1"/>
      <c r="U7" s="1"/>
      <c r="V7" s="1"/>
    </row>
    <row r="8" spans="1:22">
      <c r="A8" s="4">
        <v>104</v>
      </c>
      <c r="B8" s="4" t="s">
        <v>19</v>
      </c>
      <c r="C8" s="4">
        <v>90</v>
      </c>
      <c r="D8" s="4">
        <v>100</v>
      </c>
      <c r="E8" s="4" t="s">
        <v>20</v>
      </c>
      <c r="F8" s="4" t="str">
        <f t="shared" si="0"/>
        <v>Did Not Meet Target</v>
      </c>
      <c r="G8" s="4" t="str">
        <f t="shared" si="1"/>
        <v>Not Eligible</v>
      </c>
      <c r="H8" s="2">
        <f t="shared" si="2"/>
        <v>0.05</v>
      </c>
      <c r="I8" s="2">
        <f t="shared" si="3"/>
        <v>4.5</v>
      </c>
      <c r="J8" s="4" t="str">
        <f t="shared" si="4"/>
        <v>Needs Improvement</v>
      </c>
      <c r="K8" s="4" t="str">
        <f t="shared" si="5"/>
        <v>Low</v>
      </c>
      <c r="L8" s="2">
        <f t="shared" si="6"/>
        <v>300</v>
      </c>
      <c r="M8" s="2" t="str">
        <f>IF(C8&gt;O13,"Yes","No")</f>
        <v>Yes</v>
      </c>
      <c r="N8" s="1"/>
      <c r="O8" s="1"/>
      <c r="Q8" s="1"/>
      <c r="R8" s="1"/>
      <c r="S8" s="1"/>
      <c r="T8" s="1"/>
      <c r="U8" s="1"/>
      <c r="V8" s="1"/>
    </row>
    <row r="9" spans="1:22">
      <c r="A9" s="4">
        <v>105</v>
      </c>
      <c r="B9" s="4" t="s">
        <v>21</v>
      </c>
      <c r="C9" s="4">
        <v>220</v>
      </c>
      <c r="D9" s="4">
        <v>210</v>
      </c>
      <c r="E9" s="4" t="s">
        <v>14</v>
      </c>
      <c r="F9" s="4" t="str">
        <f t="shared" si="0"/>
        <v>Met Target</v>
      </c>
      <c r="G9" s="4" t="str">
        <f t="shared" si="1"/>
        <v>Eligible</v>
      </c>
      <c r="H9" s="2">
        <f t="shared" si="2"/>
        <v>0.1</v>
      </c>
      <c r="I9" s="2">
        <f t="shared" si="3"/>
        <v>22</v>
      </c>
      <c r="J9" s="4" t="str">
        <f t="shared" si="4"/>
        <v>Excellent</v>
      </c>
      <c r="K9" s="4" t="str">
        <f t="shared" si="5"/>
        <v>High</v>
      </c>
      <c r="L9" s="2">
        <f t="shared" si="6"/>
        <v>500</v>
      </c>
      <c r="M9" s="10" t="str">
        <f>IF(C9&gt;O14,"Yes","No")</f>
        <v>Yes</v>
      </c>
      <c r="N9" s="5" t="s">
        <v>2</v>
      </c>
      <c r="O9" s="1" t="s">
        <v>22</v>
      </c>
      <c r="Q9" s="1"/>
      <c r="R9" s="1"/>
      <c r="S9" s="1"/>
      <c r="T9" s="1"/>
      <c r="U9" s="1"/>
      <c r="V9" s="1"/>
    </row>
    <row r="10" spans="1:22">
      <c r="A10" s="4">
        <v>106</v>
      </c>
      <c r="B10" s="4" t="s">
        <v>23</v>
      </c>
      <c r="C10" s="4">
        <v>130</v>
      </c>
      <c r="D10" s="4">
        <v>160</v>
      </c>
      <c r="E10" s="4" t="s">
        <v>16</v>
      </c>
      <c r="F10" s="4" t="str">
        <f t="shared" si="0"/>
        <v>Did Not Meet Target</v>
      </c>
      <c r="G10" s="4" t="str">
        <f t="shared" si="1"/>
        <v>Not Eligible</v>
      </c>
      <c r="H10" s="2">
        <f t="shared" si="2"/>
        <v>0.05</v>
      </c>
      <c r="I10" s="2">
        <f t="shared" si="3"/>
        <v>6.5</v>
      </c>
      <c r="J10" s="4" t="str">
        <f t="shared" si="4"/>
        <v>Needs Improvement</v>
      </c>
      <c r="K10" s="4" t="str">
        <f t="shared" si="5"/>
        <v>Medium</v>
      </c>
      <c r="L10" s="2">
        <f t="shared" si="6"/>
        <v>300</v>
      </c>
      <c r="M10" s="10" t="str">
        <f>IF(C10&gt;O15,"Yes","No")</f>
        <v>Yes</v>
      </c>
      <c r="N10" s="7">
        <v>120</v>
      </c>
      <c r="O10" s="1">
        <f>PERCENTILE($C$5:$C$10,0.75)</f>
        <v>187.5</v>
      </c>
      <c r="Q10" s="1"/>
      <c r="R10" s="1"/>
      <c r="S10" s="1"/>
      <c r="T10" s="1"/>
      <c r="U10" s="1"/>
      <c r="V10" s="1"/>
    </row>
    <row r="11" spans="1:2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7">
        <v>150</v>
      </c>
      <c r="O11" s="1"/>
      <c r="Q11" s="1"/>
      <c r="R11" s="1"/>
      <c r="S11" s="1"/>
      <c r="T11" s="1"/>
      <c r="U11" s="1"/>
      <c r="V11" s="1"/>
    </row>
    <row r="12" spans="1:2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7">
        <v>200</v>
      </c>
      <c r="O12" s="1"/>
      <c r="Q12" s="11"/>
      <c r="R12" s="11"/>
      <c r="S12" s="1"/>
      <c r="T12" s="1"/>
      <c r="U12" s="12"/>
      <c r="V12" s="1"/>
    </row>
    <row r="13" spans="1:2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7">
        <v>90</v>
      </c>
      <c r="O13" s="1"/>
      <c r="Q13" s="11"/>
      <c r="R13" s="1"/>
      <c r="S13" s="1"/>
      <c r="T13" s="1"/>
      <c r="U13" s="12"/>
      <c r="V13" s="1"/>
    </row>
    <row r="14" spans="1:2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7">
        <v>220</v>
      </c>
      <c r="O14" s="1"/>
      <c r="Q14" s="11"/>
      <c r="R14" s="1"/>
      <c r="S14" s="1"/>
      <c r="T14" s="1"/>
      <c r="U14" s="12"/>
      <c r="V14" s="1"/>
    </row>
    <row r="15" spans="1:2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7">
        <v>130</v>
      </c>
      <c r="O15" s="1"/>
      <c r="Q15" s="11"/>
      <c r="R15" s="1"/>
      <c r="S15" s="1"/>
      <c r="T15" s="1"/>
      <c r="U15" s="12"/>
      <c r="V15" s="1"/>
    </row>
    <row r="16" spans="1:2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7"/>
      <c r="O16" s="1"/>
      <c r="P16" s="1"/>
      <c r="Q16" s="11"/>
      <c r="R16" s="1"/>
      <c r="S16" s="1"/>
      <c r="T16" s="1"/>
      <c r="U16" s="12"/>
      <c r="V16" s="1"/>
    </row>
    <row r="17" spans="1:2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2"/>
      <c r="V17" s="1"/>
    </row>
    <row r="18" spans="1:2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2"/>
      <c r="U18" s="1"/>
      <c r="V18" s="1"/>
    </row>
    <row r="19" spans="1:22">
      <c r="A19" s="5" t="s">
        <v>24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1"/>
      <c r="R19" s="1"/>
      <c r="S19" s="1"/>
      <c r="T19" s="1"/>
      <c r="U19" s="1"/>
      <c r="V19" s="1"/>
    </row>
    <row r="20" spans="1:22">
      <c r="A20" s="6" t="s">
        <v>25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1"/>
      <c r="R20" s="1"/>
      <c r="S20" s="1"/>
      <c r="T20" s="1"/>
      <c r="U20" s="1"/>
      <c r="V20" s="1"/>
    </row>
    <row r="21" spans="1:22">
      <c r="A21" s="6" t="s">
        <v>26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1"/>
      <c r="R21" s="1"/>
      <c r="S21" s="1"/>
      <c r="T21" s="1"/>
      <c r="U21" s="1"/>
      <c r="V21" s="1"/>
    </row>
    <row r="22" spans="1:22">
      <c r="A22" s="6" t="s">
        <v>27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1"/>
      <c r="R22" s="1"/>
      <c r="S22" s="1"/>
      <c r="T22" s="1"/>
      <c r="U22" s="1"/>
      <c r="V22" s="1"/>
    </row>
    <row r="23" spans="1:22">
      <c r="A23" s="6" t="s">
        <v>28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1"/>
      <c r="R23" s="1"/>
      <c r="S23" s="1"/>
      <c r="T23" s="1"/>
      <c r="U23" s="1"/>
      <c r="V23" s="1"/>
    </row>
    <row r="24" spans="1:22">
      <c r="A24" s="6" t="s">
        <v>29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1"/>
      <c r="R24" s="1"/>
      <c r="S24" s="1"/>
      <c r="T24" s="1"/>
      <c r="U24" s="1"/>
      <c r="V24" s="1"/>
    </row>
    <row r="25" spans="1:22">
      <c r="A25" s="6" t="s">
        <v>30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1"/>
      <c r="R25" s="1"/>
      <c r="S25" s="1"/>
      <c r="T25" s="1"/>
      <c r="U25" s="1"/>
      <c r="V25" s="1"/>
    </row>
    <row r="26" spans="1:22">
      <c r="A26" s="6" t="s">
        <v>31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1"/>
      <c r="R26" s="1"/>
      <c r="S26" s="1"/>
      <c r="T26" s="1"/>
      <c r="U26" s="1"/>
      <c r="V26" s="1"/>
    </row>
    <row r="27" spans="1:22">
      <c r="A27" s="6" t="s">
        <v>32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"/>
      <c r="R27" s="1"/>
      <c r="S27" s="1"/>
      <c r="T27" s="1"/>
      <c r="U27" s="1"/>
      <c r="V27" s="1"/>
    </row>
    <row r="28" spans="1:2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</sheetData>
  <mergeCells count="1">
    <mergeCell ref="A19:P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2026-02-26T12:28:00Z</dcterms:created>
  <dcterms:modified xsi:type="dcterms:W3CDTF">2026-03-13T05:41:09Z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A3A8B63B25F040D998037D4ABEE50926_13</vt:lpwstr>
  </property>
  <property fmtid="{D5CDD505-2E9C-101B-9397-08002B2CF9AE}" pid="3" name="KSOProductBuildVer">
    <vt:lpwstr>2057-12.2.0.23197</vt:lpwstr>
  </property>
</Properties>
</file>